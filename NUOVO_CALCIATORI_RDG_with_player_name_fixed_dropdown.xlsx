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87C5859D-8966-4837-9B0F-F1DB5E99B86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atches" sheetId="1" r:id="rId1"/>
    <sheet name="Team Lineups" sheetId="2" r:id="rId2"/>
    <sheet name="Players" sheetId="3" r:id="rId3"/>
  </sheets>
  <definedNames>
    <definedName name="_xlnm._FilterDatabase" localSheetId="2" hidden="1">Players!$A$1:$O$28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D4" i="3"/>
  <c r="D18" i="3"/>
  <c r="D6" i="3"/>
  <c r="D7" i="3"/>
  <c r="D20" i="3"/>
  <c r="D9" i="3"/>
  <c r="D10" i="3"/>
  <c r="D11" i="3"/>
  <c r="D12" i="3"/>
  <c r="D13" i="3"/>
  <c r="D14" i="3"/>
  <c r="D15" i="3"/>
  <c r="D3" i="3"/>
  <c r="D5" i="3"/>
  <c r="D23" i="3"/>
  <c r="D19" i="3"/>
  <c r="D24" i="3"/>
  <c r="D21" i="3"/>
  <c r="D22" i="3"/>
  <c r="D8" i="3"/>
  <c r="D2" i="3"/>
  <c r="D25" i="3"/>
  <c r="F25" i="3" s="1"/>
  <c r="D26" i="3"/>
  <c r="D27" i="3"/>
  <c r="D28" i="3"/>
  <c r="D16" i="3"/>
  <c r="N28" i="3"/>
  <c r="M28" i="3"/>
  <c r="K28" i="3"/>
  <c r="E28" i="3"/>
  <c r="C28" i="3"/>
  <c r="N27" i="3"/>
  <c r="M27" i="3"/>
  <c r="K27" i="3"/>
  <c r="I27" i="3"/>
  <c r="H27" i="3"/>
  <c r="G27" i="3"/>
  <c r="J27" i="3" s="1"/>
  <c r="E27" i="3"/>
  <c r="C27" i="3"/>
  <c r="N26" i="3"/>
  <c r="M26" i="3"/>
  <c r="K26" i="3"/>
  <c r="I26" i="3"/>
  <c r="H26" i="3"/>
  <c r="G26" i="3"/>
  <c r="J26" i="3" s="1"/>
  <c r="E26" i="3"/>
  <c r="C26" i="3"/>
  <c r="N25" i="3"/>
  <c r="M25" i="3"/>
  <c r="K25" i="3"/>
  <c r="I25" i="3"/>
  <c r="H25" i="3"/>
  <c r="G25" i="3"/>
  <c r="E25" i="3"/>
  <c r="C25" i="3"/>
  <c r="N2" i="3"/>
  <c r="M2" i="3"/>
  <c r="K2" i="3"/>
  <c r="I2" i="3"/>
  <c r="E2" i="3"/>
  <c r="C2" i="3"/>
  <c r="N8" i="3"/>
  <c r="M8" i="3"/>
  <c r="K8" i="3"/>
  <c r="C8" i="3"/>
  <c r="N22" i="3"/>
  <c r="M22" i="3"/>
  <c r="K22" i="3"/>
  <c r="I22" i="3"/>
  <c r="H22" i="3"/>
  <c r="G22" i="3"/>
  <c r="E22" i="3"/>
  <c r="C22" i="3"/>
  <c r="N21" i="3"/>
  <c r="M21" i="3"/>
  <c r="K21" i="3"/>
  <c r="I21" i="3"/>
  <c r="H21" i="3"/>
  <c r="G21" i="3"/>
  <c r="E21" i="3"/>
  <c r="C21" i="3"/>
  <c r="N24" i="3"/>
  <c r="M24" i="3"/>
  <c r="K24" i="3"/>
  <c r="C24" i="3"/>
  <c r="N19" i="3"/>
  <c r="M19" i="3"/>
  <c r="K19" i="3"/>
  <c r="I19" i="3"/>
  <c r="H19" i="3"/>
  <c r="G19" i="3"/>
  <c r="E19" i="3"/>
  <c r="F19" i="3"/>
  <c r="C19" i="3"/>
  <c r="N23" i="3"/>
  <c r="M23" i="3"/>
  <c r="K23" i="3"/>
  <c r="C23" i="3"/>
  <c r="N5" i="3"/>
  <c r="M5" i="3"/>
  <c r="K5" i="3"/>
  <c r="C5" i="3"/>
  <c r="O5" i="3" s="1"/>
  <c r="N3" i="3"/>
  <c r="M3" i="3"/>
  <c r="K3" i="3"/>
  <c r="E3" i="3"/>
  <c r="C3" i="3"/>
  <c r="N15" i="3"/>
  <c r="M15" i="3"/>
  <c r="K15" i="3"/>
  <c r="I15" i="3"/>
  <c r="H15" i="3"/>
  <c r="G15" i="3"/>
  <c r="E15" i="3"/>
  <c r="F15" i="3"/>
  <c r="C15" i="3"/>
  <c r="N14" i="3"/>
  <c r="M14" i="3"/>
  <c r="K14" i="3"/>
  <c r="I14" i="3"/>
  <c r="H14" i="3"/>
  <c r="G14" i="3"/>
  <c r="E14" i="3"/>
  <c r="C14" i="3"/>
  <c r="N13" i="3"/>
  <c r="M13" i="3"/>
  <c r="K13" i="3"/>
  <c r="I13" i="3"/>
  <c r="H13" i="3"/>
  <c r="G13" i="3"/>
  <c r="E13" i="3"/>
  <c r="C13" i="3"/>
  <c r="N12" i="3"/>
  <c r="M12" i="3"/>
  <c r="K12" i="3"/>
  <c r="I12" i="3"/>
  <c r="H12" i="3"/>
  <c r="G12" i="3"/>
  <c r="E12" i="3"/>
  <c r="C12" i="3"/>
  <c r="O12" i="3" s="1"/>
  <c r="N11" i="3"/>
  <c r="M11" i="3"/>
  <c r="K11" i="3"/>
  <c r="I11" i="3"/>
  <c r="H11" i="3"/>
  <c r="G11" i="3"/>
  <c r="E11" i="3"/>
  <c r="F11" i="3"/>
  <c r="C11" i="3"/>
  <c r="N10" i="3"/>
  <c r="M10" i="3"/>
  <c r="K10" i="3"/>
  <c r="I10" i="3"/>
  <c r="H10" i="3"/>
  <c r="G10" i="3"/>
  <c r="E10" i="3"/>
  <c r="C10" i="3"/>
  <c r="N9" i="3"/>
  <c r="M9" i="3"/>
  <c r="K9" i="3"/>
  <c r="I9" i="3"/>
  <c r="H9" i="3"/>
  <c r="G9" i="3"/>
  <c r="E9" i="3"/>
  <c r="C9" i="3"/>
  <c r="N20" i="3"/>
  <c r="M20" i="3"/>
  <c r="K20" i="3"/>
  <c r="I20" i="3"/>
  <c r="E20" i="3"/>
  <c r="F20" i="3" s="1"/>
  <c r="C20" i="3"/>
  <c r="N7" i="3"/>
  <c r="M7" i="3"/>
  <c r="K7" i="3"/>
  <c r="I7" i="3"/>
  <c r="H7" i="3"/>
  <c r="G7" i="3"/>
  <c r="E7" i="3"/>
  <c r="C7" i="3"/>
  <c r="N6" i="3"/>
  <c r="M6" i="3"/>
  <c r="K6" i="3"/>
  <c r="I6" i="3"/>
  <c r="H6" i="3"/>
  <c r="G6" i="3"/>
  <c r="E6" i="3"/>
  <c r="F6" i="3"/>
  <c r="C6" i="3"/>
  <c r="N18" i="3"/>
  <c r="M18" i="3"/>
  <c r="K18" i="3"/>
  <c r="C18" i="3"/>
  <c r="N4" i="3"/>
  <c r="M4" i="3"/>
  <c r="K4" i="3"/>
  <c r="I4" i="3"/>
  <c r="H4" i="3"/>
  <c r="G4" i="3"/>
  <c r="J4" i="3" s="1"/>
  <c r="E4" i="3"/>
  <c r="C4" i="3"/>
  <c r="N17" i="3"/>
  <c r="M17" i="3"/>
  <c r="K17" i="3"/>
  <c r="C17" i="3"/>
  <c r="N16" i="3"/>
  <c r="M16" i="3"/>
  <c r="K16" i="3"/>
  <c r="C16" i="3"/>
  <c r="F11" i="2"/>
  <c r="H20" i="3" s="1"/>
  <c r="F10" i="2"/>
  <c r="G2" i="3" s="1"/>
  <c r="J2" i="3" s="1"/>
  <c r="E8" i="2"/>
  <c r="E16" i="3" s="1"/>
  <c r="D8" i="2"/>
  <c r="F8" i="2" s="1"/>
  <c r="F7" i="2"/>
  <c r="I23" i="3" s="1"/>
  <c r="E7" i="2"/>
  <c r="E23" i="3" s="1"/>
  <c r="D7" i="2"/>
  <c r="D6" i="2"/>
  <c r="D5" i="2"/>
  <c r="E4" i="2"/>
  <c r="E8" i="3" s="1"/>
  <c r="D4" i="2"/>
  <c r="F4" i="2" s="1"/>
  <c r="F3" i="2"/>
  <c r="I3" i="3" s="1"/>
  <c r="E3" i="2"/>
  <c r="D3" i="2"/>
  <c r="D2" i="2"/>
  <c r="F2" i="1"/>
  <c r="E6" i="2" s="1"/>
  <c r="E2" i="1"/>
  <c r="E9" i="2" s="1"/>
  <c r="E24" i="3" s="1"/>
  <c r="J10" i="3" l="1"/>
  <c r="L11" i="3"/>
  <c r="L4" i="3"/>
  <c r="J12" i="3"/>
  <c r="J11" i="3"/>
  <c r="J14" i="3"/>
  <c r="O23" i="3"/>
  <c r="O21" i="3"/>
  <c r="F16" i="3"/>
  <c r="O18" i="3"/>
  <c r="F27" i="3"/>
  <c r="F8" i="3"/>
  <c r="F26" i="3"/>
  <c r="O11" i="3"/>
  <c r="O2" i="3"/>
  <c r="O13" i="3"/>
  <c r="O26" i="3"/>
  <c r="O14" i="3"/>
  <c r="F13" i="3"/>
  <c r="L3" i="3"/>
  <c r="O6" i="3"/>
  <c r="F22" i="3"/>
  <c r="O17" i="3"/>
  <c r="F10" i="3"/>
  <c r="F21" i="3"/>
  <c r="O9" i="3"/>
  <c r="F3" i="3"/>
  <c r="L9" i="3"/>
  <c r="L18" i="3"/>
  <c r="L20" i="3"/>
  <c r="L8" i="3"/>
  <c r="J19" i="3"/>
  <c r="J25" i="3"/>
  <c r="L16" i="3"/>
  <c r="J7" i="3"/>
  <c r="O3" i="3"/>
  <c r="O24" i="3"/>
  <c r="O8" i="3"/>
  <c r="F14" i="3"/>
  <c r="J15" i="3"/>
  <c r="L21" i="3"/>
  <c r="F9" i="3"/>
  <c r="J9" i="3"/>
  <c r="J13" i="3"/>
  <c r="O15" i="3"/>
  <c r="L12" i="3"/>
  <c r="F4" i="3"/>
  <c r="F7" i="3"/>
  <c r="L10" i="3"/>
  <c r="J21" i="3"/>
  <c r="O10" i="3"/>
  <c r="L26" i="3"/>
  <c r="O27" i="3"/>
  <c r="L5" i="3"/>
  <c r="J22" i="3"/>
  <c r="F2" i="3"/>
  <c r="L25" i="3"/>
  <c r="J6" i="3"/>
  <c r="L27" i="3"/>
  <c r="O20" i="3"/>
  <c r="F12" i="3"/>
  <c r="L19" i="3"/>
  <c r="L7" i="3"/>
  <c r="L22" i="3"/>
  <c r="L2" i="3"/>
  <c r="O25" i="3"/>
  <c r="L13" i="3"/>
  <c r="L15" i="3"/>
  <c r="O19" i="3"/>
  <c r="O4" i="3"/>
  <c r="L17" i="3"/>
  <c r="L6" i="3"/>
  <c r="O7" i="3"/>
  <c r="L23" i="3"/>
  <c r="L24" i="3"/>
  <c r="O22" i="3"/>
  <c r="F28" i="3"/>
  <c r="L28" i="3"/>
  <c r="O28" i="3"/>
  <c r="F24" i="3"/>
  <c r="I16" i="3"/>
  <c r="H16" i="3"/>
  <c r="G16" i="3"/>
  <c r="J16" i="3" s="1"/>
  <c r="E18" i="3"/>
  <c r="F18" i="3" s="1"/>
  <c r="F6" i="2"/>
  <c r="H8" i="3"/>
  <c r="G8" i="3"/>
  <c r="J8" i="3" s="1"/>
  <c r="I8" i="3"/>
  <c r="F23" i="3"/>
  <c r="H2" i="3"/>
  <c r="G3" i="3"/>
  <c r="J3" i="3" s="1"/>
  <c r="G28" i="3"/>
  <c r="J28" i="3" s="1"/>
  <c r="H3" i="3"/>
  <c r="H28" i="3"/>
  <c r="D9" i="2"/>
  <c r="F9" i="2" s="1"/>
  <c r="E5" i="2"/>
  <c r="G23" i="3"/>
  <c r="J23" i="3" s="1"/>
  <c r="I28" i="3"/>
  <c r="L14" i="3"/>
  <c r="H23" i="3"/>
  <c r="O16" i="3"/>
  <c r="G20" i="3"/>
  <c r="J20" i="3" s="1"/>
  <c r="E2" i="2"/>
  <c r="F5" i="2" l="1"/>
  <c r="E17" i="3"/>
  <c r="F17" i="3" s="1"/>
  <c r="I24" i="3"/>
  <c r="H24" i="3"/>
  <c r="G24" i="3"/>
  <c r="J24" i="3" s="1"/>
  <c r="I18" i="3"/>
  <c r="H18" i="3"/>
  <c r="G18" i="3"/>
  <c r="J18" i="3" s="1"/>
  <c r="E5" i="3"/>
  <c r="F5" i="3" s="1"/>
  <c r="F2" i="2"/>
  <c r="I5" i="3" l="1"/>
  <c r="H5" i="3"/>
  <c r="G5" i="3"/>
  <c r="J5" i="3" s="1"/>
  <c r="H17" i="3"/>
  <c r="G17" i="3"/>
  <c r="J17" i="3" s="1"/>
  <c r="I17" i="3"/>
</calcChain>
</file>

<file path=xl/sharedStrings.xml><?xml version="1.0" encoding="utf-8"?>
<sst xmlns="http://schemas.openxmlformats.org/spreadsheetml/2006/main" count="82" uniqueCount="56">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</sst>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G2" sqref="G2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>VALUE(LEFT(D2, FIND("-", D2)-1))</f>
        <v>7</v>
      </c>
      <c r="F2">
        <f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</row>
    <row r="4" spans="1:7" x14ac:dyDescent="0.35">
      <c r="A4">
        <v>3</v>
      </c>
      <c r="B4" s="2">
        <v>45988</v>
      </c>
      <c r="C4" t="s">
        <v>7</v>
      </c>
    </row>
    <row r="5" spans="1:7" x14ac:dyDescent="0.35">
      <c r="D5" s="1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G6" sqref="G6"/>
    </sheetView>
  </sheetViews>
  <sheetFormatPr defaultRowHeight="14.5" x14ac:dyDescent="0.35"/>
  <cols>
    <col min="2" max="2" width="14.26953125" customWidth="1"/>
    <col min="7" max="7" width="18.81640625" customWidth="1"/>
  </cols>
  <sheetData>
    <row r="1" spans="1:8" s="4" customFormat="1" x14ac:dyDescent="0.35">
      <c r="A1" s="4" t="s">
        <v>0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</row>
    <row r="2" spans="1:8" x14ac:dyDescent="0.35">
      <c r="A2">
        <v>1</v>
      </c>
      <c r="B2" t="s">
        <v>16</v>
      </c>
      <c r="C2" t="s">
        <v>17</v>
      </c>
      <c r="D2">
        <f>IF(C2="A", INDEX(Matches!$E:$E, MATCH(A2, Matches!$A:$A, 0)), INDEX(Matches!$F:$F, MATCH(A2, Matches!$A:$A, 0)))</f>
        <v>7</v>
      </c>
      <c r="E2">
        <f>IF(C2="A", INDEX(Matches!$F:$F, MATCH(A2, Matches!$A:$A, 0)), INDEX(Matches!$E:$E, MATCH(A2, Matches!$A:$A, 0)))</f>
        <v>7</v>
      </c>
      <c r="F2" t="str">
        <f t="shared" ref="F2:F11" si="0">IF(D2&gt;E2,"Win",IF(D2&lt;E2,"Loss","Draw"))</f>
        <v>Draw</v>
      </c>
      <c r="G2">
        <v>2</v>
      </c>
      <c r="H2">
        <v>2</v>
      </c>
    </row>
    <row r="3" spans="1:8" x14ac:dyDescent="0.35">
      <c r="A3">
        <v>1</v>
      </c>
      <c r="B3" t="s">
        <v>18</v>
      </c>
      <c r="C3" t="s">
        <v>17</v>
      </c>
      <c r="D3">
        <f>IF(C3="A", INDEX(Matches!$E:$E, MATCH(A3, Matches!$A:$A, 0)), INDEX(Matches!$F:$F, MATCH(A3, Matches!$A:$A, 0)))</f>
        <v>7</v>
      </c>
      <c r="E3">
        <f>IF(C3="A", INDEX(Matches!$F:$F, MATCH(A3, Matches!$A:$A, 0)), INDEX(Matches!$E:$E, MATCH(A3, Matches!$A:$A, 0)))</f>
        <v>7</v>
      </c>
      <c r="F3" t="str">
        <f t="shared" si="0"/>
        <v>Draw</v>
      </c>
      <c r="G3">
        <v>2</v>
      </c>
    </row>
    <row r="4" spans="1:8" x14ac:dyDescent="0.35">
      <c r="A4">
        <v>1</v>
      </c>
      <c r="B4" t="s">
        <v>19</v>
      </c>
      <c r="C4" t="s">
        <v>17</v>
      </c>
      <c r="D4">
        <f>IF(C4="A", INDEX(Matches!$E:$E, MATCH(A4, Matches!$A:$A, 0)), INDEX(Matches!$F:$F, MATCH(A4, Matches!$A:$A, 0)))</f>
        <v>7</v>
      </c>
      <c r="E4">
        <f>IF(C4="A", INDEX(Matches!$F:$F, MATCH(A4, Matches!$A:$A, 0)), INDEX(Matches!$E:$E, MATCH(A4, Matches!$A:$A, 0)))</f>
        <v>7</v>
      </c>
      <c r="F4" t="str">
        <f t="shared" si="0"/>
        <v>Draw</v>
      </c>
      <c r="G4">
        <v>2</v>
      </c>
    </row>
    <row r="5" spans="1:8" x14ac:dyDescent="0.35">
      <c r="A5">
        <v>1</v>
      </c>
      <c r="B5" t="s">
        <v>20</v>
      </c>
      <c r="C5" t="s">
        <v>17</v>
      </c>
      <c r="D5">
        <f>IF(C5="A", INDEX(Matches!$E:$E, MATCH(A5, Matches!$A:$A, 0)), INDEX(Matches!$F:$F, MATCH(A5, Matches!$A:$A, 0)))</f>
        <v>7</v>
      </c>
      <c r="E5">
        <f>IF(C5="A", INDEX(Matches!$F:$F, MATCH(A5, Matches!$A:$A, 0)), INDEX(Matches!$E:$E, MATCH(A5, Matches!$A:$A, 0)))</f>
        <v>7</v>
      </c>
      <c r="F5" t="str">
        <f t="shared" si="0"/>
        <v>Draw</v>
      </c>
    </row>
    <row r="6" spans="1:8" x14ac:dyDescent="0.35">
      <c r="A6">
        <v>1</v>
      </c>
      <c r="B6" t="s">
        <v>21</v>
      </c>
      <c r="C6" t="s">
        <v>17</v>
      </c>
      <c r="D6">
        <f>IF(C6="A", INDEX(Matches!$E:$E, MATCH(A6, Matches!$A:$A, 0)), INDEX(Matches!$F:$F, MATCH(A6, Matches!$A:$A, 0)))</f>
        <v>7</v>
      </c>
      <c r="E6">
        <f>IF(C6="A", INDEX(Matches!$F:$F, MATCH(A6, Matches!$A:$A, 0)), INDEX(Matches!$E:$E, MATCH(A6, Matches!$A:$A, 0)))</f>
        <v>7</v>
      </c>
      <c r="F6" t="str">
        <f t="shared" si="0"/>
        <v>Draw</v>
      </c>
    </row>
    <row r="7" spans="1:8" x14ac:dyDescent="0.35">
      <c r="A7">
        <v>1</v>
      </c>
      <c r="B7" t="s">
        <v>22</v>
      </c>
      <c r="C7" t="s">
        <v>23</v>
      </c>
      <c r="D7">
        <f>IF(C7="A", INDEX(Matches!$E:$E, MATCH(A7, Matches!$A:$A, 0)), INDEX(Matches!$F:$F, MATCH(A7, Matches!$A:$A, 0)))</f>
        <v>7</v>
      </c>
      <c r="E7">
        <f>IF(C7="A", INDEX(Matches!$F:$F, MATCH(A7, Matches!$A:$A, 0)), INDEX(Matches!$E:$E, MATCH(A7, Matches!$A:$A, 0)))</f>
        <v>7</v>
      </c>
      <c r="F7" t="str">
        <f t="shared" si="0"/>
        <v>Draw</v>
      </c>
    </row>
    <row r="8" spans="1:8" x14ac:dyDescent="0.35">
      <c r="A8">
        <v>1</v>
      </c>
      <c r="B8" t="s">
        <v>24</v>
      </c>
      <c r="C8" t="s">
        <v>23</v>
      </c>
      <c r="D8">
        <f>IF(C8="A", INDEX(Matches!$E:$E, MATCH(A8, Matches!$A:$A, 0)), INDEX(Matches!$F:$F, MATCH(A8, Matches!$A:$A, 0)))</f>
        <v>7</v>
      </c>
      <c r="E8">
        <f>IF(C8="A", INDEX(Matches!$F:$F, MATCH(A8, Matches!$A:$A, 0)), INDEX(Matches!$E:$E, MATCH(A8, Matches!$A:$A, 0)))</f>
        <v>7</v>
      </c>
      <c r="F8" t="str">
        <f t="shared" si="0"/>
        <v>Draw</v>
      </c>
      <c r="G8">
        <v>1</v>
      </c>
    </row>
    <row r="9" spans="1:8" x14ac:dyDescent="0.35">
      <c r="A9">
        <v>1</v>
      </c>
      <c r="B9" t="s">
        <v>25</v>
      </c>
      <c r="C9" t="s">
        <v>23</v>
      </c>
      <c r="D9">
        <f>IF(C9="A", INDEX(Matches!$E:$E, MATCH(A9, Matches!$A:$A, 0)), INDEX(Matches!$F:$F, MATCH(A9, Matches!$A:$A, 0)))</f>
        <v>7</v>
      </c>
      <c r="E9">
        <f>IF(C9="A", INDEX(Matches!$F:$F, MATCH(A9, Matches!$A:$A, 0)), INDEX(Matches!$E:$E, MATCH(A9, Matches!$A:$A, 0)))</f>
        <v>7</v>
      </c>
      <c r="F9" t="str">
        <f t="shared" si="0"/>
        <v>Draw</v>
      </c>
    </row>
    <row r="10" spans="1:8" x14ac:dyDescent="0.35">
      <c r="A10">
        <v>1</v>
      </c>
      <c r="B10" t="s">
        <v>26</v>
      </c>
      <c r="C10" t="s">
        <v>23</v>
      </c>
      <c r="D10">
        <v>7</v>
      </c>
      <c r="E10">
        <v>7</v>
      </c>
      <c r="F10" t="str">
        <f t="shared" si="0"/>
        <v>Draw</v>
      </c>
      <c r="G10">
        <v>3</v>
      </c>
      <c r="H10">
        <v>2</v>
      </c>
    </row>
    <row r="11" spans="1:8" x14ac:dyDescent="0.35">
      <c r="A11">
        <v>1</v>
      </c>
      <c r="B11" t="s">
        <v>27</v>
      </c>
      <c r="C11" t="s">
        <v>23</v>
      </c>
      <c r="D11">
        <v>7</v>
      </c>
      <c r="E11">
        <v>7</v>
      </c>
      <c r="F11" t="str">
        <f t="shared" si="0"/>
        <v>Draw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O28"/>
  <sheetViews>
    <sheetView tabSelected="1" workbookViewId="0">
      <selection activeCell="C20" sqref="C20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0" width="18" style="3" customWidth="1"/>
    <col min="11" max="12" width="13" customWidth="1"/>
  </cols>
  <sheetData>
    <row r="1" spans="1:15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4" t="s">
        <v>37</v>
      </c>
      <c r="L1" s="4" t="s">
        <v>38</v>
      </c>
      <c r="M1" s="4" t="s">
        <v>15</v>
      </c>
      <c r="N1" s="4" t="s">
        <v>6</v>
      </c>
      <c r="O1" s="4" t="s">
        <v>39</v>
      </c>
    </row>
    <row r="2" spans="1:15" x14ac:dyDescent="0.35">
      <c r="A2" t="s">
        <v>26</v>
      </c>
      <c r="C2">
        <f>COUNTIF('Team Lineups'!B:B,A2)</f>
        <v>1</v>
      </c>
      <c r="D2">
        <f>SUMIF('Team Lineups'!B:B,A2,'Team Lineups'!D:D)</f>
        <v>7</v>
      </c>
      <c r="E2">
        <f>SUMIF('Team Lineups'!B:B,A2,'Team Lineups'!E:E)</f>
        <v>7</v>
      </c>
      <c r="F2">
        <f>D2-E2</f>
        <v>0</v>
      </c>
      <c r="G2">
        <f>COUNTIFS('Team Lineups'!B:B,A2,'Team Lineups'!F:F,"Win")</f>
        <v>0</v>
      </c>
      <c r="H2">
        <f>COUNTIFS('Team Lineups'!B:B,A2,'Team Lineups'!F:F,"Draw")</f>
        <v>1</v>
      </c>
      <c r="I2">
        <f>COUNTIFS('Team Lineups'!B:B,A2,'Team Lineups'!F:F,"Loss")</f>
        <v>0</v>
      </c>
      <c r="J2" s="3">
        <f>G2/C2</f>
        <v>0</v>
      </c>
      <c r="K2">
        <f>SUMIF('Team Lineups'!B:B,A2,'Team Lineups'!G:G)</f>
        <v>3</v>
      </c>
      <c r="L2">
        <f>K2/C2</f>
        <v>3</v>
      </c>
      <c r="M2">
        <f>SUMIF('Team Lineups'!B:B,A2,'Team Lineups'!H:H)</f>
        <v>2</v>
      </c>
      <c r="N2">
        <f>COUNTIF(Matches!G:G,A2)</f>
        <v>1</v>
      </c>
      <c r="O2">
        <f>N2/C2</f>
        <v>1</v>
      </c>
    </row>
    <row r="3" spans="1:15" x14ac:dyDescent="0.35">
      <c r="A3" t="s">
        <v>18</v>
      </c>
      <c r="C3">
        <f>COUNTIF('Team Lineups'!B:B,A3)</f>
        <v>1</v>
      </c>
      <c r="D3">
        <f>SUMIF('Team Lineups'!B:B,A3,'Team Lineups'!D:D)</f>
        <v>7</v>
      </c>
      <c r="E3">
        <f>SUMIF('Team Lineups'!B:B,A3,'Team Lineups'!E:E)</f>
        <v>7</v>
      </c>
      <c r="F3">
        <f>D3-E3</f>
        <v>0</v>
      </c>
      <c r="G3">
        <f>COUNTIFS('Team Lineups'!B:B,A3,'Team Lineups'!F:F,"Win")</f>
        <v>0</v>
      </c>
      <c r="H3">
        <f>COUNTIFS('Team Lineups'!B:B,A3,'Team Lineups'!F:F,"Draw")</f>
        <v>1</v>
      </c>
      <c r="I3">
        <f>COUNTIFS('Team Lineups'!B:B,A3,'Team Lineups'!F:F,"Loss")</f>
        <v>0</v>
      </c>
      <c r="J3" s="3">
        <f>G3/C3</f>
        <v>0</v>
      </c>
      <c r="K3">
        <f>SUMIF('Team Lineups'!B:B,A3,'Team Lineups'!G:G)</f>
        <v>2</v>
      </c>
      <c r="L3">
        <f>K3/C3</f>
        <v>2</v>
      </c>
      <c r="M3">
        <f>SUMIF('Team Lineups'!B:B,A3,'Team Lineups'!H:H)</f>
        <v>0</v>
      </c>
      <c r="N3">
        <f>COUNTIF(Matches!G:G,A3)</f>
        <v>0</v>
      </c>
      <c r="O3">
        <f>N3/C3</f>
        <v>0</v>
      </c>
    </row>
    <row r="4" spans="1:15" hidden="1" x14ac:dyDescent="0.35">
      <c r="A4" t="s">
        <v>40</v>
      </c>
      <c r="C4">
        <f>COUNTIF('Team Lineups'!B:B,A4)</f>
        <v>0</v>
      </c>
      <c r="D4">
        <f>SUMIF('Team Lineups'!B:B,A4,'Team Lineups'!D:D)</f>
        <v>0</v>
      </c>
      <c r="E4">
        <f>SUMIF('Team Lineups'!B:B,A4,'Team Lineups'!E:E)</f>
        <v>0</v>
      </c>
      <c r="F4">
        <f>D4-E4</f>
        <v>0</v>
      </c>
      <c r="G4">
        <f>COUNTIFS('Team Lineups'!B:B,A4,'Team Lineups'!F:F,"Win")</f>
        <v>0</v>
      </c>
      <c r="H4">
        <f>COUNTIFS('Team Lineups'!B:B,A4,'Team Lineups'!F:F,"Draw")</f>
        <v>0</v>
      </c>
      <c r="I4">
        <f>COUNTIFS('Team Lineups'!B:B,A4,'Team Lineups'!F:F,"Loss")</f>
        <v>0</v>
      </c>
      <c r="J4" s="3" t="e">
        <f>G4/C4</f>
        <v>#DIV/0!</v>
      </c>
      <c r="K4">
        <f>SUMIF('Team Lineups'!B:B,A4,'Team Lineups'!G:G)</f>
        <v>0</v>
      </c>
      <c r="L4" t="e">
        <f>K4/C4</f>
        <v>#DIV/0!</v>
      </c>
      <c r="M4">
        <f>SUMIF('Team Lineups'!B:B,A4,'Team Lineups'!H:H)</f>
        <v>0</v>
      </c>
      <c r="N4">
        <f>COUNTIF(Matches!G:G,A4)</f>
        <v>0</v>
      </c>
      <c r="O4" t="e">
        <f>N4/C4</f>
        <v>#DIV/0!</v>
      </c>
    </row>
    <row r="5" spans="1:15" x14ac:dyDescent="0.35">
      <c r="A5" t="s">
        <v>16</v>
      </c>
      <c r="C5">
        <f>COUNTIF('Team Lineups'!B:B,A5)</f>
        <v>1</v>
      </c>
      <c r="D5">
        <f>SUMIF('Team Lineups'!B:B,A5,'Team Lineups'!D:D)</f>
        <v>7</v>
      </c>
      <c r="E5">
        <f>SUMIF('Team Lineups'!B:B,A5,'Team Lineups'!E:E)</f>
        <v>7</v>
      </c>
      <c r="F5">
        <f>D5-E5</f>
        <v>0</v>
      </c>
      <c r="G5">
        <f>COUNTIFS('Team Lineups'!B:B,A5,'Team Lineups'!F:F,"Win")</f>
        <v>0</v>
      </c>
      <c r="H5">
        <f>COUNTIFS('Team Lineups'!B:B,A5,'Team Lineups'!F:F,"Draw")</f>
        <v>1</v>
      </c>
      <c r="I5">
        <f>COUNTIFS('Team Lineups'!B:B,A5,'Team Lineups'!F:F,"Loss")</f>
        <v>0</v>
      </c>
      <c r="J5" s="3">
        <f>G5/C5</f>
        <v>0</v>
      </c>
      <c r="K5">
        <f>SUMIF('Team Lineups'!B:B,A5,'Team Lineups'!G:G)</f>
        <v>2</v>
      </c>
      <c r="L5">
        <f>K5/C5</f>
        <v>2</v>
      </c>
      <c r="M5">
        <f>SUMIF('Team Lineups'!B:B,A5,'Team Lineups'!H:H)</f>
        <v>2</v>
      </c>
      <c r="N5">
        <f>COUNTIF(Matches!G:G,A5)</f>
        <v>0</v>
      </c>
      <c r="O5">
        <f>N5/C5</f>
        <v>0</v>
      </c>
    </row>
    <row r="6" spans="1:15" hidden="1" x14ac:dyDescent="0.35">
      <c r="A6" t="s">
        <v>41</v>
      </c>
      <c r="C6">
        <f>COUNTIF('Team Lineups'!B:B,A6)</f>
        <v>0</v>
      </c>
      <c r="D6">
        <f>SUMIF('Team Lineups'!B:B,A6,'Team Lineups'!D:D)</f>
        <v>0</v>
      </c>
      <c r="E6">
        <f>SUMIF('Team Lineups'!B:B,A6,'Team Lineups'!E:E)</f>
        <v>0</v>
      </c>
      <c r="F6">
        <f>D6-E6</f>
        <v>0</v>
      </c>
      <c r="G6">
        <f>COUNTIFS('Team Lineups'!B:B,A6,'Team Lineups'!F:F,"Win")</f>
        <v>0</v>
      </c>
      <c r="H6">
        <f>COUNTIFS('Team Lineups'!B:B,A6,'Team Lineups'!F:F,"Draw")</f>
        <v>0</v>
      </c>
      <c r="I6">
        <f>COUNTIFS('Team Lineups'!B:B,A6,'Team Lineups'!F:F,"Loss")</f>
        <v>0</v>
      </c>
      <c r="J6" s="3" t="e">
        <f>G6/C6</f>
        <v>#DIV/0!</v>
      </c>
      <c r="K6">
        <f>SUMIF('Team Lineups'!B:B,A6,'Team Lineups'!G:G)</f>
        <v>0</v>
      </c>
      <c r="L6" t="e">
        <f>K6/C6</f>
        <v>#DIV/0!</v>
      </c>
      <c r="M6">
        <f>SUMIF('Team Lineups'!B:B,A6,'Team Lineups'!H:H)</f>
        <v>0</v>
      </c>
      <c r="N6">
        <f>COUNTIF(Matches!G:G,A6)</f>
        <v>0</v>
      </c>
      <c r="O6" t="e">
        <f>N6/C6</f>
        <v>#DIV/0!</v>
      </c>
    </row>
    <row r="7" spans="1:15" hidden="1" x14ac:dyDescent="0.35">
      <c r="A7" t="s">
        <v>42</v>
      </c>
      <c r="C7">
        <f>COUNTIF('Team Lineups'!B:B,A7)</f>
        <v>0</v>
      </c>
      <c r="D7">
        <f>SUMIF('Team Lineups'!B:B,A7,'Team Lineups'!D:D)</f>
        <v>0</v>
      </c>
      <c r="E7">
        <f>SUMIF('Team Lineups'!B:B,A7,'Team Lineups'!E:E)</f>
        <v>0</v>
      </c>
      <c r="F7">
        <f>D7-E7</f>
        <v>0</v>
      </c>
      <c r="G7">
        <f>COUNTIFS('Team Lineups'!B:B,A7,'Team Lineups'!F:F,"Win")</f>
        <v>0</v>
      </c>
      <c r="H7">
        <f>COUNTIFS('Team Lineups'!B:B,A7,'Team Lineups'!F:F,"Draw")</f>
        <v>0</v>
      </c>
      <c r="I7">
        <f>COUNTIFS('Team Lineups'!B:B,A7,'Team Lineups'!F:F,"Loss")</f>
        <v>0</v>
      </c>
      <c r="J7" s="3" t="e">
        <f>G7/C7</f>
        <v>#DIV/0!</v>
      </c>
      <c r="K7">
        <f>SUMIF('Team Lineups'!B:B,A7,'Team Lineups'!G:G)</f>
        <v>0</v>
      </c>
      <c r="L7" t="e">
        <f>K7/C7</f>
        <v>#DIV/0!</v>
      </c>
      <c r="M7">
        <f>SUMIF('Team Lineups'!B:B,A7,'Team Lineups'!H:H)</f>
        <v>0</v>
      </c>
      <c r="N7">
        <f>COUNTIF(Matches!G:G,A7)</f>
        <v>0</v>
      </c>
      <c r="O7" t="e">
        <f>N7/C7</f>
        <v>#DIV/0!</v>
      </c>
    </row>
    <row r="8" spans="1:15" x14ac:dyDescent="0.35">
      <c r="A8" t="s">
        <v>19</v>
      </c>
      <c r="C8">
        <f>COUNTIF('Team Lineups'!B:B,A8)</f>
        <v>1</v>
      </c>
      <c r="D8">
        <f>SUMIF('Team Lineups'!B:B,A8,'Team Lineups'!D:D)</f>
        <v>7</v>
      </c>
      <c r="E8">
        <f>SUMIF('Team Lineups'!B:B,A8,'Team Lineups'!E:E)</f>
        <v>7</v>
      </c>
      <c r="F8">
        <f>D8-E8</f>
        <v>0</v>
      </c>
      <c r="G8">
        <f>COUNTIFS('Team Lineups'!B:B,A8,'Team Lineups'!F:F,"Win")</f>
        <v>0</v>
      </c>
      <c r="H8">
        <f>COUNTIFS('Team Lineups'!B:B,A8,'Team Lineups'!F:F,"Draw")</f>
        <v>1</v>
      </c>
      <c r="I8">
        <f>COUNTIFS('Team Lineups'!B:B,A8,'Team Lineups'!F:F,"Loss")</f>
        <v>0</v>
      </c>
      <c r="J8" s="3">
        <f>G8/C8</f>
        <v>0</v>
      </c>
      <c r="K8">
        <f>SUMIF('Team Lineups'!B:B,A8,'Team Lineups'!G:G)</f>
        <v>2</v>
      </c>
      <c r="L8">
        <f>K8/C8</f>
        <v>2</v>
      </c>
      <c r="M8">
        <f>SUMIF('Team Lineups'!B:B,A8,'Team Lineups'!H:H)</f>
        <v>0</v>
      </c>
      <c r="N8">
        <f>COUNTIF(Matches!G:G,A8)</f>
        <v>0</v>
      </c>
      <c r="O8">
        <f>N8/C8</f>
        <v>0</v>
      </c>
    </row>
    <row r="9" spans="1:15" hidden="1" x14ac:dyDescent="0.35">
      <c r="A9" t="s">
        <v>43</v>
      </c>
      <c r="C9">
        <f>COUNTIF('Team Lineups'!B:B,A9)</f>
        <v>0</v>
      </c>
      <c r="D9">
        <f>SUMIF('Team Lineups'!B:B,A9,'Team Lineups'!D:D)</f>
        <v>0</v>
      </c>
      <c r="E9">
        <f>SUMIF('Team Lineups'!B:B,A9,'Team Lineups'!E:E)</f>
        <v>0</v>
      </c>
      <c r="F9">
        <f>D9-E9</f>
        <v>0</v>
      </c>
      <c r="G9">
        <f>COUNTIFS('Team Lineups'!B:B,A9,'Team Lineups'!F:F,"Win")</f>
        <v>0</v>
      </c>
      <c r="H9">
        <f>COUNTIFS('Team Lineups'!B:B,A9,'Team Lineups'!F:F,"Draw")</f>
        <v>0</v>
      </c>
      <c r="I9">
        <f>COUNTIFS('Team Lineups'!B:B,A9,'Team Lineups'!F:F,"Loss")</f>
        <v>0</v>
      </c>
      <c r="J9" s="3" t="e">
        <f>G9/C9</f>
        <v>#DIV/0!</v>
      </c>
      <c r="K9">
        <f>SUMIF('Team Lineups'!B:B,A9,'Team Lineups'!G:G)</f>
        <v>0</v>
      </c>
      <c r="L9" t="e">
        <f>K9/C9</f>
        <v>#DIV/0!</v>
      </c>
      <c r="M9">
        <f>SUMIF('Team Lineups'!B:B,A9,'Team Lineups'!H:H)</f>
        <v>0</v>
      </c>
      <c r="N9">
        <f>COUNTIF(Matches!G:G,A9)</f>
        <v>0</v>
      </c>
      <c r="O9" t="e">
        <f>N9/C9</f>
        <v>#DIV/0!</v>
      </c>
    </row>
    <row r="10" spans="1:15" hidden="1" x14ac:dyDescent="0.35">
      <c r="A10" t="s">
        <v>44</v>
      </c>
      <c r="C10">
        <f>COUNTIF('Team Lineups'!B:B,A10)</f>
        <v>0</v>
      </c>
      <c r="D10">
        <f>SUMIF('Team Lineups'!B:B,A10,'Team Lineups'!D:D)</f>
        <v>0</v>
      </c>
      <c r="E10">
        <f>SUMIF('Team Lineups'!B:B,A10,'Team Lineups'!E:E)</f>
        <v>0</v>
      </c>
      <c r="F10">
        <f>D10-E10</f>
        <v>0</v>
      </c>
      <c r="G10">
        <f>COUNTIFS('Team Lineups'!B:B,A10,'Team Lineups'!F:F,"Win")</f>
        <v>0</v>
      </c>
      <c r="H10">
        <f>COUNTIFS('Team Lineups'!B:B,A10,'Team Lineups'!F:F,"Draw")</f>
        <v>0</v>
      </c>
      <c r="I10">
        <f>COUNTIFS('Team Lineups'!B:B,A10,'Team Lineups'!F:F,"Loss")</f>
        <v>0</v>
      </c>
      <c r="J10" s="3" t="e">
        <f>G10/C10</f>
        <v>#DIV/0!</v>
      </c>
      <c r="K10">
        <f>SUMIF('Team Lineups'!B:B,A10,'Team Lineups'!G:G)</f>
        <v>0</v>
      </c>
      <c r="L10" t="e">
        <f>K10/C10</f>
        <v>#DIV/0!</v>
      </c>
      <c r="M10">
        <f>SUMIF('Team Lineups'!B:B,A10,'Team Lineups'!H:H)</f>
        <v>0</v>
      </c>
      <c r="N10">
        <f>COUNTIF(Matches!G:G,A10)</f>
        <v>0</v>
      </c>
      <c r="O10" t="e">
        <f>N10/C10</f>
        <v>#DIV/0!</v>
      </c>
    </row>
    <row r="11" spans="1:15" hidden="1" x14ac:dyDescent="0.35">
      <c r="A11" t="s">
        <v>45</v>
      </c>
      <c r="C11">
        <f>COUNTIF('Team Lineups'!B:B,A11)</f>
        <v>0</v>
      </c>
      <c r="D11">
        <f>SUMIF('Team Lineups'!B:B,A11,'Team Lineups'!D:D)</f>
        <v>0</v>
      </c>
      <c r="E11">
        <f>SUMIF('Team Lineups'!B:B,A11,'Team Lineups'!E:E)</f>
        <v>0</v>
      </c>
      <c r="F11">
        <f>D11-E11</f>
        <v>0</v>
      </c>
      <c r="G11">
        <f>COUNTIFS('Team Lineups'!B:B,A11,'Team Lineups'!F:F,"Win")</f>
        <v>0</v>
      </c>
      <c r="H11">
        <f>COUNTIFS('Team Lineups'!B:B,A11,'Team Lineups'!F:F,"Draw")</f>
        <v>0</v>
      </c>
      <c r="I11">
        <f>COUNTIFS('Team Lineups'!B:B,A11,'Team Lineups'!F:F,"Loss")</f>
        <v>0</v>
      </c>
      <c r="J11" s="3" t="e">
        <f>G11/C11</f>
        <v>#DIV/0!</v>
      </c>
      <c r="K11">
        <f>SUMIF('Team Lineups'!B:B,A11,'Team Lineups'!G:G)</f>
        <v>0</v>
      </c>
      <c r="L11" t="e">
        <f>K11/C11</f>
        <v>#DIV/0!</v>
      </c>
      <c r="M11">
        <f>SUMIF('Team Lineups'!B:B,A11,'Team Lineups'!H:H)</f>
        <v>0</v>
      </c>
      <c r="N11">
        <f>COUNTIF(Matches!G:G,A11)</f>
        <v>0</v>
      </c>
      <c r="O11" t="e">
        <f>N11/C11</f>
        <v>#DIV/0!</v>
      </c>
    </row>
    <row r="12" spans="1:15" hidden="1" x14ac:dyDescent="0.35">
      <c r="A12" t="s">
        <v>46</v>
      </c>
      <c r="C12">
        <f>COUNTIF('Team Lineups'!B:B,A12)</f>
        <v>0</v>
      </c>
      <c r="D12">
        <f>SUMIF('Team Lineups'!B:B,A12,'Team Lineups'!D:D)</f>
        <v>0</v>
      </c>
      <c r="E12">
        <f>SUMIF('Team Lineups'!B:B,A12,'Team Lineups'!E:E)</f>
        <v>0</v>
      </c>
      <c r="F12">
        <f>D12-E12</f>
        <v>0</v>
      </c>
      <c r="G12">
        <f>COUNTIFS('Team Lineups'!B:B,A12,'Team Lineups'!F:F,"Win")</f>
        <v>0</v>
      </c>
      <c r="H12">
        <f>COUNTIFS('Team Lineups'!B:B,A12,'Team Lineups'!F:F,"Draw")</f>
        <v>0</v>
      </c>
      <c r="I12">
        <f>COUNTIFS('Team Lineups'!B:B,A12,'Team Lineups'!F:F,"Loss")</f>
        <v>0</v>
      </c>
      <c r="J12" s="3" t="e">
        <f>G12/C12</f>
        <v>#DIV/0!</v>
      </c>
      <c r="K12">
        <f>SUMIF('Team Lineups'!B:B,A12,'Team Lineups'!G:G)</f>
        <v>0</v>
      </c>
      <c r="L12" t="e">
        <f>K12/C12</f>
        <v>#DIV/0!</v>
      </c>
      <c r="M12">
        <f>SUMIF('Team Lineups'!B:B,A12,'Team Lineups'!H:H)</f>
        <v>0</v>
      </c>
      <c r="N12">
        <f>COUNTIF(Matches!G:G,A12)</f>
        <v>0</v>
      </c>
      <c r="O12" t="e">
        <f>N12/C12</f>
        <v>#DIV/0!</v>
      </c>
    </row>
    <row r="13" spans="1:15" hidden="1" x14ac:dyDescent="0.35">
      <c r="A13" t="s">
        <v>47</v>
      </c>
      <c r="C13">
        <f>COUNTIF('Team Lineups'!B:B,A13)</f>
        <v>0</v>
      </c>
      <c r="D13">
        <f>SUMIF('Team Lineups'!B:B,A13,'Team Lineups'!D:D)</f>
        <v>0</v>
      </c>
      <c r="E13">
        <f>SUMIF('Team Lineups'!B:B,A13,'Team Lineups'!E:E)</f>
        <v>0</v>
      </c>
      <c r="F13">
        <f>D13-E13</f>
        <v>0</v>
      </c>
      <c r="G13">
        <f>COUNTIFS('Team Lineups'!B:B,A13,'Team Lineups'!F:F,"Win")</f>
        <v>0</v>
      </c>
      <c r="H13">
        <f>COUNTIFS('Team Lineups'!B:B,A13,'Team Lineups'!F:F,"Draw")</f>
        <v>0</v>
      </c>
      <c r="I13">
        <f>COUNTIFS('Team Lineups'!B:B,A13,'Team Lineups'!F:F,"Loss")</f>
        <v>0</v>
      </c>
      <c r="J13" s="3" t="e">
        <f>G13/C13</f>
        <v>#DIV/0!</v>
      </c>
      <c r="K13">
        <f>SUMIF('Team Lineups'!B:B,A13,'Team Lineups'!G:G)</f>
        <v>0</v>
      </c>
      <c r="L13" t="e">
        <f>K13/C13</f>
        <v>#DIV/0!</v>
      </c>
      <c r="M13">
        <f>SUMIF('Team Lineups'!B:B,A13,'Team Lineups'!H:H)</f>
        <v>0</v>
      </c>
      <c r="N13">
        <f>COUNTIF(Matches!G:G,A13)</f>
        <v>0</v>
      </c>
      <c r="O13" t="e">
        <f>N13/C13</f>
        <v>#DIV/0!</v>
      </c>
    </row>
    <row r="14" spans="1:15" hidden="1" x14ac:dyDescent="0.35">
      <c r="A14" t="s">
        <v>48</v>
      </c>
      <c r="C14">
        <f>COUNTIF('Team Lineups'!B:B,A14)</f>
        <v>0</v>
      </c>
      <c r="D14">
        <f>SUMIF('Team Lineups'!B:B,A14,'Team Lineups'!D:D)</f>
        <v>0</v>
      </c>
      <c r="E14">
        <f>SUMIF('Team Lineups'!B:B,A14,'Team Lineups'!E:E)</f>
        <v>0</v>
      </c>
      <c r="F14">
        <f>D14-E14</f>
        <v>0</v>
      </c>
      <c r="G14">
        <f>COUNTIFS('Team Lineups'!B:B,A14,'Team Lineups'!F:F,"Win")</f>
        <v>0</v>
      </c>
      <c r="H14">
        <f>COUNTIFS('Team Lineups'!B:B,A14,'Team Lineups'!F:F,"Draw")</f>
        <v>0</v>
      </c>
      <c r="I14">
        <f>COUNTIFS('Team Lineups'!B:B,A14,'Team Lineups'!F:F,"Loss")</f>
        <v>0</v>
      </c>
      <c r="J14" s="3" t="e">
        <f>G14/C14</f>
        <v>#DIV/0!</v>
      </c>
      <c r="K14">
        <f>SUMIF('Team Lineups'!B:B,A14,'Team Lineups'!G:G)</f>
        <v>0</v>
      </c>
      <c r="L14" t="e">
        <f>K14/C14</f>
        <v>#DIV/0!</v>
      </c>
      <c r="M14">
        <f>SUMIF('Team Lineups'!B:B,A14,'Team Lineups'!H:H)</f>
        <v>0</v>
      </c>
      <c r="N14">
        <f>COUNTIF(Matches!G:G,A14)</f>
        <v>0</v>
      </c>
      <c r="O14" t="e">
        <f>N14/C14</f>
        <v>#DIV/0!</v>
      </c>
    </row>
    <row r="15" spans="1:15" hidden="1" x14ac:dyDescent="0.35">
      <c r="A15" t="s">
        <v>49</v>
      </c>
      <c r="C15">
        <f>COUNTIF('Team Lineups'!B:B,A15)</f>
        <v>0</v>
      </c>
      <c r="D15">
        <f>SUMIF('Team Lineups'!B:B,A15,'Team Lineups'!D:D)</f>
        <v>0</v>
      </c>
      <c r="E15">
        <f>SUMIF('Team Lineups'!B:B,A15,'Team Lineups'!E:E)</f>
        <v>0</v>
      </c>
      <c r="F15">
        <f>D15-E15</f>
        <v>0</v>
      </c>
      <c r="G15">
        <f>COUNTIFS('Team Lineups'!B:B,A15,'Team Lineups'!F:F,"Win")</f>
        <v>0</v>
      </c>
      <c r="H15">
        <f>COUNTIFS('Team Lineups'!B:B,A15,'Team Lineups'!F:F,"Draw")</f>
        <v>0</v>
      </c>
      <c r="I15">
        <f>COUNTIFS('Team Lineups'!B:B,A15,'Team Lineups'!F:F,"Loss")</f>
        <v>0</v>
      </c>
      <c r="J15" s="3" t="e">
        <f>G15/C15</f>
        <v>#DIV/0!</v>
      </c>
      <c r="K15">
        <f>SUMIF('Team Lineups'!B:B,A15,'Team Lineups'!G:G)</f>
        <v>0</v>
      </c>
      <c r="L15" t="e">
        <f>K15/C15</f>
        <v>#DIV/0!</v>
      </c>
      <c r="M15">
        <f>SUMIF('Team Lineups'!B:B,A15,'Team Lineups'!H:H)</f>
        <v>0</v>
      </c>
      <c r="N15">
        <f>COUNTIF(Matches!G:G,A15)</f>
        <v>0</v>
      </c>
      <c r="O15" t="e">
        <f>N15/C15</f>
        <v>#DIV/0!</v>
      </c>
    </row>
    <row r="16" spans="1:15" x14ac:dyDescent="0.35">
      <c r="A16" t="s">
        <v>24</v>
      </c>
      <c r="C16">
        <f>COUNTIF('Team Lineups'!B:B,A16)</f>
        <v>1</v>
      </c>
      <c r="D16">
        <f>SUMIF('Team Lineups'!B:B,A16,'Team Lineups'!D:D)</f>
        <v>7</v>
      </c>
      <c r="E16">
        <f>SUMIF('Team Lineups'!B:B,A16,'Team Lineups'!E:E)</f>
        <v>7</v>
      </c>
      <c r="F16">
        <f>D16-E16</f>
        <v>0</v>
      </c>
      <c r="G16">
        <f>COUNTIFS('Team Lineups'!B:B,A16,'Team Lineups'!F:F,"Win")</f>
        <v>0</v>
      </c>
      <c r="H16">
        <f>COUNTIFS('Team Lineups'!B:B,A16,'Team Lineups'!F:F,"Draw")</f>
        <v>1</v>
      </c>
      <c r="I16">
        <f>COUNTIFS('Team Lineups'!B:B,A16,'Team Lineups'!F:F,"Loss")</f>
        <v>0</v>
      </c>
      <c r="J16" s="3">
        <f>G16/C16</f>
        <v>0</v>
      </c>
      <c r="K16">
        <f>SUMIF('Team Lineups'!B:B,A16,'Team Lineups'!G:G)</f>
        <v>1</v>
      </c>
      <c r="L16">
        <f>K16/C16</f>
        <v>1</v>
      </c>
      <c r="M16">
        <f>SUMIF('Team Lineups'!B:B,A16,'Team Lineups'!H:H)</f>
        <v>0</v>
      </c>
      <c r="N16">
        <f>COUNTIF(Matches!G:G,A16)</f>
        <v>0</v>
      </c>
      <c r="O16">
        <f>N16/C16</f>
        <v>0</v>
      </c>
    </row>
    <row r="17" spans="1:15" x14ac:dyDescent="0.35">
      <c r="A17" t="s">
        <v>20</v>
      </c>
      <c r="C17">
        <f>COUNTIF('Team Lineups'!B:B,A17)</f>
        <v>1</v>
      </c>
      <c r="D17">
        <f>SUMIF('Team Lineups'!B:B,A17,'Team Lineups'!D:D)</f>
        <v>7</v>
      </c>
      <c r="E17">
        <f>SUMIF('Team Lineups'!B:B,A17,'Team Lineups'!E:E)</f>
        <v>7</v>
      </c>
      <c r="F17">
        <f>D17-E17</f>
        <v>0</v>
      </c>
      <c r="G17">
        <f>COUNTIFS('Team Lineups'!B:B,A17,'Team Lineups'!F:F,"Win")</f>
        <v>0</v>
      </c>
      <c r="H17">
        <f>COUNTIFS('Team Lineups'!B:B,A17,'Team Lineups'!F:F,"Draw")</f>
        <v>1</v>
      </c>
      <c r="I17">
        <f>COUNTIFS('Team Lineups'!B:B,A17,'Team Lineups'!F:F,"Loss")</f>
        <v>0</v>
      </c>
      <c r="J17" s="3">
        <f>G17/C17</f>
        <v>0</v>
      </c>
      <c r="K17">
        <f>SUMIF('Team Lineups'!B:B,A17,'Team Lineups'!G:G)</f>
        <v>0</v>
      </c>
      <c r="L17">
        <f>K17/C17</f>
        <v>0</v>
      </c>
      <c r="M17">
        <f>SUMIF('Team Lineups'!B:B,A17,'Team Lineups'!H:H)</f>
        <v>0</v>
      </c>
      <c r="N17">
        <f>COUNTIF(Matches!G:G,A17)</f>
        <v>0</v>
      </c>
      <c r="O17">
        <f>N17/C17</f>
        <v>0</v>
      </c>
    </row>
    <row r="18" spans="1:15" x14ac:dyDescent="0.35">
      <c r="A18" t="s">
        <v>21</v>
      </c>
      <c r="C18">
        <f>COUNTIF('Team Lineups'!B:B,A18)</f>
        <v>1</v>
      </c>
      <c r="D18">
        <f>SUMIF('Team Lineups'!B:B,A18,'Team Lineups'!D:D)</f>
        <v>7</v>
      </c>
      <c r="E18">
        <f>SUMIF('Team Lineups'!B:B,A18,'Team Lineups'!E:E)</f>
        <v>7</v>
      </c>
      <c r="F18">
        <f>D18-E18</f>
        <v>0</v>
      </c>
      <c r="G18">
        <f>COUNTIFS('Team Lineups'!B:B,A18,'Team Lineups'!F:F,"Win")</f>
        <v>0</v>
      </c>
      <c r="H18">
        <f>COUNTIFS('Team Lineups'!B:B,A18,'Team Lineups'!F:F,"Draw")</f>
        <v>1</v>
      </c>
      <c r="I18">
        <f>COUNTIFS('Team Lineups'!B:B,A18,'Team Lineups'!F:F,"Loss")</f>
        <v>0</v>
      </c>
      <c r="J18" s="3">
        <f>G18/C18</f>
        <v>0</v>
      </c>
      <c r="K18">
        <f>SUMIF('Team Lineups'!B:B,A18,'Team Lineups'!G:G)</f>
        <v>0</v>
      </c>
      <c r="L18">
        <f>K18/C18</f>
        <v>0</v>
      </c>
      <c r="M18">
        <f>SUMIF('Team Lineups'!B:B,A18,'Team Lineups'!H:H)</f>
        <v>0</v>
      </c>
      <c r="N18">
        <f>COUNTIF(Matches!G:G,A18)</f>
        <v>0</v>
      </c>
      <c r="O18">
        <f>N18/C18</f>
        <v>0</v>
      </c>
    </row>
    <row r="19" spans="1:15" hidden="1" x14ac:dyDescent="0.35">
      <c r="A19" t="s">
        <v>50</v>
      </c>
      <c r="C19">
        <f>COUNTIF('Team Lineups'!B:B,A19)</f>
        <v>0</v>
      </c>
      <c r="D19">
        <f>SUMIF('Team Lineups'!B:B,A19,'Team Lineups'!D:D)</f>
        <v>0</v>
      </c>
      <c r="E19">
        <f>SUMIF('Team Lineups'!B:B,A19,'Team Lineups'!E:E)</f>
        <v>0</v>
      </c>
      <c r="F19">
        <f>D19-E19</f>
        <v>0</v>
      </c>
      <c r="G19">
        <f>COUNTIFS('Team Lineups'!B:B,A19,'Team Lineups'!F:F,"Win")</f>
        <v>0</v>
      </c>
      <c r="H19">
        <f>COUNTIFS('Team Lineups'!B:B,A19,'Team Lineups'!F:F,"Draw")</f>
        <v>0</v>
      </c>
      <c r="I19">
        <f>COUNTIFS('Team Lineups'!B:B,A19,'Team Lineups'!F:F,"Loss")</f>
        <v>0</v>
      </c>
      <c r="J19" s="3" t="e">
        <f>G19/C19</f>
        <v>#DIV/0!</v>
      </c>
      <c r="K19">
        <f>SUMIF('Team Lineups'!B:B,A19,'Team Lineups'!G:G)</f>
        <v>0</v>
      </c>
      <c r="L19" t="e">
        <f>K19/C19</f>
        <v>#DIV/0!</v>
      </c>
      <c r="M19">
        <f>SUMIF('Team Lineups'!B:B,A19,'Team Lineups'!H:H)</f>
        <v>0</v>
      </c>
      <c r="N19">
        <f>COUNTIF(Matches!G:G,A19)</f>
        <v>0</v>
      </c>
      <c r="O19" t="e">
        <f>N19/C19</f>
        <v>#DIV/0!</v>
      </c>
    </row>
    <row r="20" spans="1:15" x14ac:dyDescent="0.35">
      <c r="A20" t="s">
        <v>27</v>
      </c>
      <c r="C20">
        <f>COUNTIF('Team Lineups'!B:B,A20)</f>
        <v>1</v>
      </c>
      <c r="D20">
        <f>SUMIF('Team Lineups'!B:B,A20,'Team Lineups'!D:D)</f>
        <v>7</v>
      </c>
      <c r="E20">
        <f>SUMIF('Team Lineups'!B:B,A20,'Team Lineups'!E:E)</f>
        <v>7</v>
      </c>
      <c r="F20">
        <f>D20-E20</f>
        <v>0</v>
      </c>
      <c r="G20">
        <f>COUNTIFS('Team Lineups'!B:B,A20,'Team Lineups'!F:F,"Win")</f>
        <v>0</v>
      </c>
      <c r="H20">
        <f>COUNTIFS('Team Lineups'!B:B,A20,'Team Lineups'!F:F,"Draw")</f>
        <v>1</v>
      </c>
      <c r="I20">
        <f>COUNTIFS('Team Lineups'!B:B,A20,'Team Lineups'!F:F,"Loss")</f>
        <v>0</v>
      </c>
      <c r="J20" s="3">
        <f>G20/C20</f>
        <v>0</v>
      </c>
      <c r="K20">
        <f>SUMIF('Team Lineups'!B:B,A20,'Team Lineups'!G:G)</f>
        <v>0</v>
      </c>
      <c r="L20">
        <f>K20/C20</f>
        <v>0</v>
      </c>
      <c r="M20">
        <f>SUMIF('Team Lineups'!B:B,A20,'Team Lineups'!H:H)</f>
        <v>0</v>
      </c>
      <c r="N20">
        <f>COUNTIF(Matches!G:G,A20)</f>
        <v>0</v>
      </c>
      <c r="O20">
        <f>N20/C20</f>
        <v>0</v>
      </c>
    </row>
    <row r="21" spans="1:15" hidden="1" x14ac:dyDescent="0.35">
      <c r="A21" t="s">
        <v>51</v>
      </c>
      <c r="C21">
        <f>COUNTIF('Team Lineups'!B:B,A21)</f>
        <v>0</v>
      </c>
      <c r="D21">
        <f>SUMIF('Team Lineups'!B:B,A21,'Team Lineups'!D:D)</f>
        <v>0</v>
      </c>
      <c r="E21">
        <f>SUMIF('Team Lineups'!B:B,A21,'Team Lineups'!E:E)</f>
        <v>0</v>
      </c>
      <c r="F21">
        <f>D21-E21</f>
        <v>0</v>
      </c>
      <c r="G21">
        <f>COUNTIFS('Team Lineups'!B:B,A21,'Team Lineups'!F:F,"Win")</f>
        <v>0</v>
      </c>
      <c r="H21">
        <f>COUNTIFS('Team Lineups'!B:B,A21,'Team Lineups'!F:F,"Draw")</f>
        <v>0</v>
      </c>
      <c r="I21">
        <f>COUNTIFS('Team Lineups'!B:B,A21,'Team Lineups'!F:F,"Loss")</f>
        <v>0</v>
      </c>
      <c r="J21" s="3" t="e">
        <f>G21/C21</f>
        <v>#DIV/0!</v>
      </c>
      <c r="K21">
        <f>SUMIF('Team Lineups'!B:B,A21,'Team Lineups'!G:G)</f>
        <v>0</v>
      </c>
      <c r="L21" t="e">
        <f>K21/C21</f>
        <v>#DIV/0!</v>
      </c>
      <c r="M21">
        <f>SUMIF('Team Lineups'!B:B,A21,'Team Lineups'!H:H)</f>
        <v>0</v>
      </c>
      <c r="N21">
        <f>COUNTIF(Matches!G:G,A21)</f>
        <v>0</v>
      </c>
      <c r="O21" t="e">
        <f>N21/C21</f>
        <v>#DIV/0!</v>
      </c>
    </row>
    <row r="22" spans="1:15" hidden="1" x14ac:dyDescent="0.35">
      <c r="A22" t="s">
        <v>52</v>
      </c>
      <c r="C22">
        <f>COUNTIF('Team Lineups'!B:B,A22)</f>
        <v>0</v>
      </c>
      <c r="D22">
        <f>SUMIF('Team Lineups'!B:B,A22,'Team Lineups'!D:D)</f>
        <v>0</v>
      </c>
      <c r="E22">
        <f>SUMIF('Team Lineups'!B:B,A22,'Team Lineups'!E:E)</f>
        <v>0</v>
      </c>
      <c r="F22">
        <f>D22-E22</f>
        <v>0</v>
      </c>
      <c r="G22">
        <f>COUNTIFS('Team Lineups'!B:B,A22,'Team Lineups'!F:F,"Win")</f>
        <v>0</v>
      </c>
      <c r="H22">
        <f>COUNTIFS('Team Lineups'!B:B,A22,'Team Lineups'!F:F,"Draw")</f>
        <v>0</v>
      </c>
      <c r="I22">
        <f>COUNTIFS('Team Lineups'!B:B,A22,'Team Lineups'!F:F,"Loss")</f>
        <v>0</v>
      </c>
      <c r="J22" s="3" t="e">
        <f>G22/C22</f>
        <v>#DIV/0!</v>
      </c>
      <c r="K22">
        <f>SUMIF('Team Lineups'!B:B,A22,'Team Lineups'!G:G)</f>
        <v>0</v>
      </c>
      <c r="L22" t="e">
        <f>K22/C22</f>
        <v>#DIV/0!</v>
      </c>
      <c r="M22">
        <f>SUMIF('Team Lineups'!B:B,A22,'Team Lineups'!H:H)</f>
        <v>0</v>
      </c>
      <c r="N22">
        <f>COUNTIF(Matches!G:G,A22)</f>
        <v>0</v>
      </c>
      <c r="O22" t="e">
        <f>N22/C22</f>
        <v>#DIV/0!</v>
      </c>
    </row>
    <row r="23" spans="1:15" x14ac:dyDescent="0.35">
      <c r="A23" t="s">
        <v>22</v>
      </c>
      <c r="C23">
        <f>COUNTIF('Team Lineups'!B:B,A23)</f>
        <v>1</v>
      </c>
      <c r="D23">
        <f>SUMIF('Team Lineups'!B:B,A23,'Team Lineups'!D:D)</f>
        <v>7</v>
      </c>
      <c r="E23">
        <f>SUMIF('Team Lineups'!B:B,A23,'Team Lineups'!E:E)</f>
        <v>7</v>
      </c>
      <c r="F23">
        <f>D23-E23</f>
        <v>0</v>
      </c>
      <c r="G23">
        <f>COUNTIFS('Team Lineups'!B:B,A23,'Team Lineups'!F:F,"Win")</f>
        <v>0</v>
      </c>
      <c r="H23">
        <f>COUNTIFS('Team Lineups'!B:B,A23,'Team Lineups'!F:F,"Draw")</f>
        <v>1</v>
      </c>
      <c r="I23">
        <f>COUNTIFS('Team Lineups'!B:B,A23,'Team Lineups'!F:F,"Loss")</f>
        <v>0</v>
      </c>
      <c r="J23" s="3">
        <f>G23/C23</f>
        <v>0</v>
      </c>
      <c r="K23">
        <f>SUMIF('Team Lineups'!B:B,A23,'Team Lineups'!G:G)</f>
        <v>0</v>
      </c>
      <c r="L23">
        <f>K23/C23</f>
        <v>0</v>
      </c>
      <c r="M23">
        <f>SUMIF('Team Lineups'!B:B,A23,'Team Lineups'!H:H)</f>
        <v>0</v>
      </c>
      <c r="N23">
        <f>COUNTIF(Matches!G:G,A23)</f>
        <v>0</v>
      </c>
      <c r="O23">
        <f>N23/C23</f>
        <v>0</v>
      </c>
    </row>
    <row r="24" spans="1:15" x14ac:dyDescent="0.35">
      <c r="A24" t="s">
        <v>25</v>
      </c>
      <c r="C24">
        <f>COUNTIF('Team Lineups'!B:B,A24)</f>
        <v>1</v>
      </c>
      <c r="D24">
        <f>SUMIF('Team Lineups'!B:B,A24,'Team Lineups'!D:D)</f>
        <v>7</v>
      </c>
      <c r="E24">
        <f>SUMIF('Team Lineups'!B:B,A24,'Team Lineups'!E:E)</f>
        <v>7</v>
      </c>
      <c r="F24">
        <f>D24-E24</f>
        <v>0</v>
      </c>
      <c r="G24">
        <f>COUNTIFS('Team Lineups'!B:B,A24,'Team Lineups'!F:F,"Win")</f>
        <v>0</v>
      </c>
      <c r="H24">
        <f>COUNTIFS('Team Lineups'!B:B,A24,'Team Lineups'!F:F,"Draw")</f>
        <v>1</v>
      </c>
      <c r="I24">
        <f>COUNTIFS('Team Lineups'!B:B,A24,'Team Lineups'!F:F,"Loss")</f>
        <v>0</v>
      </c>
      <c r="J24" s="3">
        <f>G24/C24</f>
        <v>0</v>
      </c>
      <c r="K24">
        <f>SUMIF('Team Lineups'!B:B,A24,'Team Lineups'!G:G)</f>
        <v>0</v>
      </c>
      <c r="L24">
        <f>K24/C24</f>
        <v>0</v>
      </c>
      <c r="M24">
        <f>SUMIF('Team Lineups'!B:B,A24,'Team Lineups'!H:H)</f>
        <v>0</v>
      </c>
      <c r="N24">
        <f>COUNTIF(Matches!G:G,A24)</f>
        <v>0</v>
      </c>
      <c r="O24">
        <f>N24/C24</f>
        <v>0</v>
      </c>
    </row>
    <row r="25" spans="1:15" hidden="1" x14ac:dyDescent="0.35">
      <c r="A25" t="s">
        <v>53</v>
      </c>
      <c r="C25">
        <f>COUNTIF('Team Lineups'!B:B,A25)</f>
        <v>0</v>
      </c>
      <c r="D25">
        <f>SUMIF('Team Lineups'!B:B,A25,'Team Lineups'!D:D)</f>
        <v>0</v>
      </c>
      <c r="E25">
        <f>SUMIF('Team Lineups'!B:B,A25,'Team Lineups'!E:E)</f>
        <v>0</v>
      </c>
      <c r="F25">
        <f>D25-E25</f>
        <v>0</v>
      </c>
      <c r="G25">
        <f>COUNTIFS('Team Lineups'!B:B,A25,'Team Lineups'!F:F,"Win")</f>
        <v>0</v>
      </c>
      <c r="H25">
        <f>COUNTIFS('Team Lineups'!B:B,A25,'Team Lineups'!F:F,"Draw")</f>
        <v>0</v>
      </c>
      <c r="I25">
        <f>COUNTIFS('Team Lineups'!B:B,A25,'Team Lineups'!F:F,"Loss")</f>
        <v>0</v>
      </c>
      <c r="J25" s="3" t="e">
        <f>G25/C25</f>
        <v>#DIV/0!</v>
      </c>
      <c r="K25">
        <f>SUMIF('Team Lineups'!B:B,A25,'Team Lineups'!G:G)</f>
        <v>0</v>
      </c>
      <c r="L25" t="e">
        <f>K25/C25</f>
        <v>#DIV/0!</v>
      </c>
      <c r="M25">
        <f>SUMIF('Team Lineups'!B:B,A25,'Team Lineups'!H:H)</f>
        <v>0</v>
      </c>
      <c r="N25">
        <f>COUNTIF(Matches!G:G,A25)</f>
        <v>0</v>
      </c>
      <c r="O25" t="e">
        <f>N25/C25</f>
        <v>#DIV/0!</v>
      </c>
    </row>
    <row r="26" spans="1:15" hidden="1" x14ac:dyDescent="0.35">
      <c r="A26" t="s">
        <v>54</v>
      </c>
      <c r="C26">
        <f>COUNTIF('Team Lineups'!B:B,A26)</f>
        <v>0</v>
      </c>
      <c r="D26">
        <f>SUMIF('Team Lineups'!B:B,A26,'Team Lineups'!D:D)</f>
        <v>0</v>
      </c>
      <c r="E26">
        <f>SUMIF('Team Lineups'!B:B,A26,'Team Lineups'!E:E)</f>
        <v>0</v>
      </c>
      <c r="F26">
        <f>D26-E26</f>
        <v>0</v>
      </c>
      <c r="G26">
        <f>COUNTIFS('Team Lineups'!B:B,A26,'Team Lineups'!F:F,"Win")</f>
        <v>0</v>
      </c>
      <c r="H26">
        <f>COUNTIFS('Team Lineups'!B:B,A26,'Team Lineups'!F:F,"Draw")</f>
        <v>0</v>
      </c>
      <c r="I26">
        <f>COUNTIFS('Team Lineups'!B:B,A26,'Team Lineups'!F:F,"Loss")</f>
        <v>0</v>
      </c>
      <c r="J26" s="3" t="e">
        <f>G26/C26</f>
        <v>#DIV/0!</v>
      </c>
      <c r="K26">
        <f>SUMIF('Team Lineups'!B:B,A26,'Team Lineups'!G:G)</f>
        <v>0</v>
      </c>
      <c r="L26" t="e">
        <f>K26/C26</f>
        <v>#DIV/0!</v>
      </c>
      <c r="M26">
        <f>SUMIF('Team Lineups'!B:B,A26,'Team Lineups'!H:H)</f>
        <v>0</v>
      </c>
      <c r="N26">
        <f>COUNTIF(Matches!G:G,A26)</f>
        <v>0</v>
      </c>
      <c r="O26" t="e">
        <f>N26/C26</f>
        <v>#DIV/0!</v>
      </c>
    </row>
    <row r="27" spans="1:15" hidden="1" x14ac:dyDescent="0.35">
      <c r="A27" t="s">
        <v>55</v>
      </c>
      <c r="C27">
        <f>COUNTIF('Team Lineups'!B:B,A27)</f>
        <v>0</v>
      </c>
      <c r="D27">
        <f>SUMIF('Team Lineups'!B:B,A27,'Team Lineups'!D:D)</f>
        <v>0</v>
      </c>
      <c r="E27">
        <f>SUMIF('Team Lineups'!B:B,A27,'Team Lineups'!E:E)</f>
        <v>0</v>
      </c>
      <c r="F27">
        <f>D27-E27</f>
        <v>0</v>
      </c>
      <c r="G27">
        <f>COUNTIFS('Team Lineups'!B:B,A27,'Team Lineups'!F:F,"Win")</f>
        <v>0</v>
      </c>
      <c r="H27">
        <f>COUNTIFS('Team Lineups'!B:B,A27,'Team Lineups'!F:F,"Draw")</f>
        <v>0</v>
      </c>
      <c r="I27">
        <f>COUNTIFS('Team Lineups'!B:B,A27,'Team Lineups'!F:F,"Loss")</f>
        <v>0</v>
      </c>
      <c r="J27" s="3" t="e">
        <f>G27/C27</f>
        <v>#DIV/0!</v>
      </c>
      <c r="K27">
        <f>SUMIF('Team Lineups'!B:B,A27,'Team Lineups'!G:G)</f>
        <v>0</v>
      </c>
      <c r="L27" t="e">
        <f>K27/C27</f>
        <v>#DIV/0!</v>
      </c>
      <c r="M27">
        <f>SUMIF('Team Lineups'!B:B,A27,'Team Lineups'!H:H)</f>
        <v>0</v>
      </c>
      <c r="N27">
        <f>COUNTIF(Matches!G:G,A27)</f>
        <v>0</v>
      </c>
      <c r="O27" t="e">
        <f>N27/C27</f>
        <v>#DIV/0!</v>
      </c>
    </row>
    <row r="28" spans="1:15" x14ac:dyDescent="0.35">
      <c r="A28" t="s">
        <v>27</v>
      </c>
      <c r="C28">
        <f>COUNTIF('Team Lineups'!B:B,A28)</f>
        <v>1</v>
      </c>
      <c r="D28">
        <f>SUMIF('Team Lineups'!B:B,A28,'Team Lineups'!D:D)</f>
        <v>7</v>
      </c>
      <c r="E28">
        <f>SUMIF('Team Lineups'!B:B,A28,'Team Lineups'!E:E)</f>
        <v>7</v>
      </c>
      <c r="F28">
        <f>D28-E28</f>
        <v>0</v>
      </c>
      <c r="G28">
        <f>COUNTIFS('Team Lineups'!B:B,A28,'Team Lineups'!F:F,"Win")</f>
        <v>0</v>
      </c>
      <c r="H28">
        <f>COUNTIFS('Team Lineups'!B:B,A28,'Team Lineups'!F:F,"Draw")</f>
        <v>1</v>
      </c>
      <c r="I28">
        <f>COUNTIFS('Team Lineups'!B:B,A28,'Team Lineups'!F:F,"Loss")</f>
        <v>0</v>
      </c>
      <c r="J28" s="3">
        <f>G28/C28</f>
        <v>0</v>
      </c>
      <c r="K28">
        <f>SUMIF('Team Lineups'!B:B,A28,'Team Lineups'!G:G)</f>
        <v>0</v>
      </c>
      <c r="L28">
        <f>K28/C28</f>
        <v>0</v>
      </c>
      <c r="M28">
        <f>SUMIF('Team Lineups'!B:B,A28,'Team Lineups'!H:H)</f>
        <v>0</v>
      </c>
      <c r="N28">
        <f>COUNTIF(Matches!G:G,A28)</f>
        <v>0</v>
      </c>
      <c r="O28">
        <f>N28/C28</f>
        <v>0</v>
      </c>
    </row>
  </sheetData>
  <autoFilter ref="A1:O28" xr:uid="{00000000-0001-0000-0200-000000000000}">
    <filterColumn colId="2">
      <filters>
        <filter val="1"/>
      </filters>
    </filterColumn>
    <sortState xmlns:xlrd2="http://schemas.microsoft.com/office/spreadsheetml/2017/richdata2" ref="A2:O28">
      <sortCondition descending="1" ref="G2:G28"/>
      <sortCondition descending="1" ref="H2:H28"/>
      <sortCondition descending="1" ref="J2:J28"/>
      <sortCondition descending="1" ref="N2:N28"/>
      <sortCondition descending="1" ref="K2:K28"/>
      <sortCondition descending="1" ref="F2:F2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Matches</vt:lpstr>
      <vt:lpstr>Team Lineups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2025-11-17T09:11:43Z</dcterms:modified>
</cp:coreProperties>
</file>